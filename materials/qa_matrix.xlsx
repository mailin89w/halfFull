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Matrix" sheetId="1" state="visible" r:id="rId1"/>
    <sheet xmlns:r="http://schemas.openxmlformats.org/officeDocument/2006/relationships" name="Statu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254662"/>
      <sz val="10"/>
    </font>
    <font>
      <name val="Arial"/>
      <b val="1"/>
      <color rgb="00000000"/>
      <sz val="10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254662"/>
      </patternFill>
    </fill>
    <fill>
      <patternFill patternType="solid">
        <fgColor rgb="00ADD8E6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D9E1F2"/>
      </patternFill>
    </fill>
    <fill>
      <patternFill patternType="solid">
        <fgColor rgb="00FF8C00"/>
        <bgColor rgb="00FF8C00"/>
      </patternFill>
    </fill>
    <fill>
      <patternFill patternType="solid">
        <fgColor rgb="00008000"/>
        <bgColor rgb="00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9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9" fontId="4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9" fontId="3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9" fontId="3" fillId="3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9" fontId="6" fillId="7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35" customWidth="1" min="4" max="4"/>
    <col width="35" customWidth="1" min="5" max="5"/>
    <col width="35" customWidth="1" min="6" max="6"/>
    <col width="35" customWidth="1" min="7" max="7"/>
    <col width="12" customWidth="1" min="8" max="8"/>
    <col width="14" customWidth="1" min="9" max="9"/>
    <col width="14" customWidth="1" min="10" max="10"/>
    <col width="30" customWidth="1" min="11" max="11"/>
  </cols>
  <sheetData>
    <row r="1" ht="30" customHeight="1">
      <c r="A1" s="1" t="inlineStr">
        <is>
          <t>Scenario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Input Fixture</t>
        </is>
      </c>
      <c r="E1" s="1" t="inlineStr">
        <is>
          <t>Expected Model Behavior (Layer 1)</t>
        </is>
      </c>
      <c r="F1" s="1" t="inlineStr">
        <is>
          <t>Expected Bayesian Behavior (Layer 1.5)</t>
        </is>
      </c>
      <c r="G1" s="1" t="inlineStr">
        <is>
          <t>Expected UI Result State</t>
        </is>
      </c>
      <c r="H1" s="1" t="inlineStr">
        <is>
          <t>Severity</t>
        </is>
      </c>
      <c r="I1" s="1" t="inlineStr">
        <is>
          <t>Test Type</t>
        </is>
      </c>
      <c r="J1" s="1" t="inlineStr">
        <is>
          <t>Status</t>
        </is>
      </c>
      <c r="K1" s="1" t="inlineStr">
        <is>
          <t>Notes</t>
        </is>
      </c>
    </row>
    <row r="2" ht="60" customHeight="1">
      <c r="A2" s="2" t="inlineStr">
        <is>
          <t>EC-01</t>
        </is>
      </c>
      <c r="B2" s="2" t="inlineStr">
        <is>
          <t>Healthy/Low concern</t>
        </is>
      </c>
      <c r="C2" s="2" t="inlineStr">
        <is>
          <t>Healthy user with no fatigue — verify 'low concern' result state is distinct from 'symptomatic no match'. Results page is live and renders diagnoses from buildDiagnosesFromML; test that a fully healthy profile produces appropriately low-signal cards and no alarming language</t>
        </is>
      </c>
      <c r="D2" s="2" t="inlineStr">
        <is>
          <t>Fully healthy synthetic profile: female age 35, normal labs, low symptom burden</t>
        </is>
      </c>
      <c r="E2" s="2" t="inlineStr">
        <is>
          <t>All 11 scores below per-disease FILTER_CRITERIA; no condition flagged</t>
        </is>
      </c>
      <c r="F2" s="2" t="inlineStr">
        <is>
          <t>No conditions triggered; /bayesian/questions returns empty condition_questions</t>
        </is>
      </c>
      <c r="G2" s="2" t="inlineStr">
        <is>
          <t>Results page renders low-signal DiagnosisCards (all 'investigating' tier); no disease-scare copy; summaryLine reflects low concern</t>
        </is>
      </c>
      <c r="H2" s="3" t="inlineStr">
        <is>
          <t>Low</t>
        </is>
      </c>
      <c r="I2" s="2" t="inlineStr">
        <is>
          <t>E2E</t>
        </is>
      </c>
      <c r="J2" s="2" t="inlineStr">
        <is>
          <t>Not started</t>
        </is>
      </c>
      <c r="K2" s="2" t="inlineStr">
        <is>
          <t>Results page fully implemented at frontend/app/results/page.tsx (610 lines). Uses buildDiagnosesFromML when ML scores present, computeResults fallback otherwise</t>
        </is>
      </c>
    </row>
    <row r="3" ht="60" customHeight="1">
      <c r="A3" s="2" t="inlineStr">
        <is>
          <t>EC-02</t>
        </is>
      </c>
      <c r="B3" s="2" t="inlineStr">
        <is>
          <t>Healthy/Low concern</t>
        </is>
      </c>
      <c r="C3" s="2" t="inlineStr">
        <is>
          <t>Healthy user with one noisy high score — single marginal score above threshold should not produce alarming result</t>
        </is>
      </c>
      <c r="D3" s="2" t="inlineStr">
        <is>
          <t>Healthy profile + one isolated score just above threshold (e.g. liver=0.12)</t>
        </is>
      </c>
      <c r="E3" s="2" t="inlineStr">
        <is>
          <t>One score marginally above FILTER_CRITERIA; all others well below</t>
        </is>
      </c>
      <c r="F3" s="2" t="inlineStr">
        <is>
          <t>Bayesian questions reduce it if no corroborating symptoms</t>
        </is>
      </c>
      <c r="G3" s="2" t="inlineStr">
        <is>
          <t>Result page does not use alarming language for single weak signal; requires corroborating evidence before strong wording</t>
        </is>
      </c>
      <c r="H3" s="3" t="inlineStr">
        <is>
          <t>Low</t>
        </is>
      </c>
      <c r="I3" s="2" t="inlineStr">
        <is>
          <t>E2E</t>
        </is>
      </c>
      <c r="J3" s="2" t="inlineStr">
        <is>
          <t>Not started</t>
        </is>
      </c>
      <c r="K3" s="2" t="inlineStr">
        <is>
          <t>Results page live. DiagnosisCard renders signal tier (strong/moderate/investigating) based on mlSignal thresholds in mockResults.ts: ≥0.65=strong, ≥0.45=moderate, else investigating</t>
        </is>
      </c>
    </row>
    <row r="4" ht="60" customHeight="1">
      <c r="A4" s="2" t="inlineStr">
        <is>
          <t>EC-03</t>
        </is>
      </c>
      <c r="B4" s="2" t="inlineStr">
        <is>
          <t>No confident match</t>
        </is>
      </c>
      <c r="C4" s="2" t="inlineStr">
        <is>
          <t>Symptomatic user, all 11 ML scores below FILTER_CRITERIA — results page must show 'symptoms present, no confident match' state distinct from healthy. buildDiagnosesFromML includes ALL conditions above 0 sorted by score; risk of false specificity when no condition is truly flagged</t>
        </is>
      </c>
      <c r="D4" s="2" t="inlineStr">
        <is>
          <t>Profile with broad fatigue features but no score above FILTER_CRITERIA</t>
        </is>
      </c>
      <c r="E4" s="2" t="inlineStr">
        <is>
          <t>All 11 scores returned; none clear per-disease thresholds</t>
        </is>
      </c>
      <c r="F4" s="2" t="inlineStr">
        <is>
          <t>No Bayesian questions triggered</t>
        </is>
      </c>
      <c r="G4" s="2" t="inlineStr">
        <is>
          <t>"Symptoms present, no confident match" state shown — distinct from healthy; recommends PCP follow-up</t>
        </is>
      </c>
      <c r="H4" s="21" t="inlineStr">
        <is>
          <t>High</t>
        </is>
      </c>
      <c r="I4" s="2" t="inlineStr">
        <is>
          <t>E2E</t>
        </is>
      </c>
      <c r="J4" s="2" t="inlineStr">
        <is>
          <t>Not started</t>
        </is>
      </c>
      <c r="K4" s="2" t="inlineStr">
        <is>
          <t>Results page live. buildDiagnosesFromML in mockResults.ts includes conditions sorted by score with no minimum threshold — a symptomatic-but-unmatched user may still see 'investigating' cards. No explicit 'no confident match' gate currently implemented</t>
        </is>
      </c>
    </row>
    <row r="5" ht="60" customHeight="1">
      <c r="A5" s="2" t="inlineStr">
        <is>
          <t>EC-04</t>
        </is>
      </c>
      <c r="B5" s="2" t="inlineStr">
        <is>
          <t>No confident match</t>
        </is>
      </c>
      <c r="C5" s="2" t="inlineStr">
        <is>
          <t>Clarification answers lower top score below threshold — stale disease messaging must disappear</t>
        </is>
      </c>
      <c r="D5" s="2" t="inlineStr">
        <is>
          <t>Prior 0.42–0.55 on one condition; user answers low-LR options in clarification</t>
        </is>
      </c>
      <c r="E5" s="2" t="inlineStr">
        <is>
          <t>Score above FILTER_CRITERIA pre-Bayesian</t>
        </is>
      </c>
      <c r="F5" s="2" t="inlineStr">
        <is>
          <t>Posterior drops below 0.40 after update; condition removed from ranking</t>
        </is>
      </c>
      <c r="G5" s="2" t="inlineStr">
        <is>
          <t>Disease card disappears from results; re-ranking reflects new posteriors; no stale "strong signal" wording</t>
        </is>
      </c>
      <c r="H5" s="5" t="inlineStr">
        <is>
          <t>High</t>
        </is>
      </c>
      <c r="I5" s="2" t="inlineStr">
        <is>
          <t>Integration</t>
        </is>
      </c>
      <c r="J5" s="2" t="inlineStr">
        <is>
          <t>Not started</t>
        </is>
      </c>
      <c r="K5" s="2" t="inlineStr"/>
    </row>
    <row r="6" ht="60" customHeight="1">
      <c r="A6" s="2" t="inlineStr">
        <is>
          <t>EC-05</t>
        </is>
      </c>
      <c r="B6" s="2" t="inlineStr">
        <is>
          <t>No confident match</t>
        </is>
      </c>
      <c r="C6" s="2" t="inlineStr">
        <is>
          <t>No disease triggers Bayesian at all — system routes directly to results without empty clarification screen</t>
        </is>
      </c>
      <c r="D6" s="2" t="inlineStr">
        <is>
          <t>Profile where every ML score is below FILTER_CRITERIA</t>
        </is>
      </c>
      <c r="E6" s="2" t="inlineStr">
        <is>
          <t>All scores below thresholds</t>
        </is>
      </c>
      <c r="F6" s="2" t="inlineStr">
        <is>
          <t>/bayesian/questions returns condition_questions=[]</t>
        </is>
      </c>
      <c r="G6" s="2" t="inlineStr">
        <is>
          <t>No clarification screen shown; routes directly to result page</t>
        </is>
      </c>
      <c r="H6" s="6" t="inlineStr">
        <is>
          <t>Moderate</t>
        </is>
      </c>
      <c r="I6" s="2" t="inlineStr">
        <is>
          <t>Integration</t>
        </is>
      </c>
      <c r="J6" s="22" t="inlineStr">
        <is>
          <t>Pass</t>
        </is>
      </c>
      <c r="K6" s="2" t="inlineStr">
        <is>
          <t>Implemented: clarify/page.tsx line 146–149 checks condition_questions.length === 0 and routes to /processing directly. No empty clarification screen shown</t>
        </is>
      </c>
    </row>
    <row r="7" ht="60" customHeight="1">
      <c r="A7" s="2" t="inlineStr">
        <is>
          <t>EC-06</t>
        </is>
      </c>
      <c r="B7" s="2" t="inlineStr">
        <is>
          <t>Bayesian logic</t>
        </is>
      </c>
      <c r="C7" s="2" t="inlineStr">
        <is>
          <t>FIXED: peri_q4 was in DISABLED_QUESTION_IDS but still appeared in SHARED_QUESTION_GROUPS['heavy_periods']. Fix: removed peri_q4 from DISABLED_QUESTION_IDS so the question is asked normally when perimenopause is triggered and propagated correctly via shared answers</t>
        </is>
      </c>
      <c r="D7" s="2" t="inlineStr">
        <is>
          <t>Female profile with anemia + perimenopause triggered; user answers anemia_q1=yes (heavy periods)</t>
        </is>
      </c>
      <c r="E7" s="2" t="inlineStr">
        <is>
          <t>anemia and perimenopause both above FILTER_CRITERIA threshold</t>
        </is>
      </c>
      <c r="F7" s="2" t="inlineStr">
        <is>
          <t>peri_q4 must NOT be applied at update time — currently propagated via _apply_shared_answers_to_conditions after disabled-ID filter</t>
        </is>
      </c>
      <c r="G7" s="2" t="inlineStr">
        <is>
          <t>Perimenopause posterior should not be inflated by heavy_periods answer via a disabled question</t>
        </is>
      </c>
      <c r="H7" s="4" t="inlineStr">
        <is>
          <t>Critical</t>
        </is>
      </c>
      <c r="I7" s="2" t="inlineStr">
        <is>
          <t>Unit</t>
        </is>
      </c>
      <c r="J7" s="22" t="inlineStr">
        <is>
          <t>Pass</t>
        </is>
      </c>
      <c r="K7" s="2" t="inlineStr">
        <is>
          <t>Fixed in run_bayesian.py: removed 'peri_q4' from DISABLED_QUESTION_IDS. Question now asked when peri is triggered; shared-answer propagation from anemia_q1/iron_q1 also works correctly</t>
        </is>
      </c>
    </row>
    <row r="8" ht="60" customHeight="1">
      <c r="A8" s="2" t="inlineStr">
        <is>
          <t>EC-07</t>
        </is>
      </c>
      <c r="B8" s="2" t="inlineStr">
        <is>
          <t>Bayesian logic</t>
        </is>
      </c>
      <c r="C8" s="2" t="inlineStr">
        <is>
          <t>Shared question asked once, answer reused across all linked conditions</t>
        </is>
      </c>
      <c r="D8" s="2" t="inlineStr">
        <is>
          <t>Profile triggering anemia + iron_deficiency + perimenopause simultaneously</t>
        </is>
      </c>
      <c r="E8" s="2" t="inlineStr">
        <is>
          <t>All three above FILTER_CRITERIA</t>
        </is>
      </c>
      <c r="F8" s="2" t="inlineStr">
        <is>
          <t>heavy_periods (anemia_q1 / iron_q1 / peri_q4) asked exactly once; propagated to all three via SHARED_QUESTION_GROUPS</t>
        </is>
      </c>
      <c r="G8" s="2" t="inlineStr">
        <is>
          <t>Single heavy-periods question card in UI; not re-asked per condition</t>
        </is>
      </c>
      <c r="H8" s="5" t="inlineStr">
        <is>
          <t>High</t>
        </is>
      </c>
      <c r="I8" s="2" t="inlineStr">
        <is>
          <t>Integration</t>
        </is>
      </c>
      <c r="J8" s="2" t="inlineStr">
        <is>
          <t>Not started</t>
        </is>
      </c>
      <c r="K8" s="2" t="inlineStr"/>
    </row>
    <row r="9" ht="60" customHeight="1">
      <c r="A9" s="2" t="inlineStr">
        <is>
          <t>EC-08</t>
        </is>
      </c>
      <c r="B9" s="2" t="inlineStr">
        <is>
          <t>Bayesian logic</t>
        </is>
      </c>
      <c r="C9" s="2" t="inlineStr">
        <is>
          <t>Clarification makes secondary disease overtake primary — re-ranking must reflect new top condition</t>
        </is>
      </c>
      <c r="D9" s="2" t="inlineStr">
        <is>
          <t>Disease B prior=0.45, disease A prior=0.50; clarification answers strongly support B</t>
        </is>
      </c>
      <c r="E9" s="2" t="inlineStr">
        <is>
          <t>Both above FILTER_CRITERIA; A ranked first pre-Bayesian</t>
        </is>
      </c>
      <c r="F9" s="2" t="inlineStr">
        <is>
          <t>Posterior B &gt; posterior A after update; re-sort in update_shortlist</t>
        </is>
      </c>
      <c r="G9" s="2" t="inlineStr">
        <is>
          <t>Result page shows B at top after Bayesian update; A demoted</t>
        </is>
      </c>
      <c r="H9" s="5" t="inlineStr">
        <is>
          <t>High</t>
        </is>
      </c>
      <c r="I9" s="2" t="inlineStr">
        <is>
          <t>Integration</t>
        </is>
      </c>
      <c r="J9" s="2" t="inlineStr">
        <is>
          <t>Not started</t>
        </is>
      </c>
      <c r="K9" s="2" t="inlineStr"/>
    </row>
    <row r="10" ht="60" customHeight="1">
      <c r="A10" s="2" t="inlineStr">
        <is>
          <t>EC-09</t>
        </is>
      </c>
      <c r="B10" s="2" t="inlineStr">
        <is>
          <t>Bayesian logic</t>
        </is>
      </c>
      <c r="C10" s="2" t="inlineStr">
        <is>
          <t>More than 5 diseases triggered — only top 5 shown in clarification</t>
        </is>
      </c>
      <c r="D10" s="2" t="inlineStr">
        <is>
          <t>Broad false-positive profile designed to trigger 6–8 conditions above threshold</t>
        </is>
      </c>
      <c r="E10" s="2" t="inlineStr">
        <is>
          <t>6+ scores above FILTER_CRITERIA</t>
        </is>
      </c>
      <c r="F10" s="2" t="inlineStr">
        <is>
          <t>Only top 5 by probability used for clarification; rest pass through unchanged</t>
        </is>
      </c>
      <c r="G10" s="2" t="inlineStr">
        <is>
          <t>Exactly 5 condition screens in clarification; no 6th screen</t>
        </is>
      </c>
      <c r="H10" s="6" t="inlineStr">
        <is>
          <t>Moderate</t>
        </is>
      </c>
      <c r="I10" s="2" t="inlineStr">
        <is>
          <t>Integration</t>
        </is>
      </c>
      <c r="J10" s="2" t="inlineStr">
        <is>
          <t>Not started</t>
        </is>
      </c>
      <c r="K10" s="2" t="inlineStr"/>
    </row>
    <row r="11" ht="60" customHeight="1">
      <c r="A11" s="2" t="inlineStr">
        <is>
          <t>EC-10</t>
        </is>
      </c>
      <c r="B11" s="2" t="inlineStr">
        <is>
          <t>Bayesian logic</t>
        </is>
      </c>
      <c r="C11" s="2" t="inlineStr">
        <is>
          <t>Tie-breaking with &gt;5 diseases — selection must be deterministic</t>
        </is>
      </c>
      <c r="D11" s="2" t="inlineStr">
        <is>
          <t>Profile where two conditions score identically near rank-5/6 cutoff</t>
        </is>
      </c>
      <c r="E11" s="2" t="inlineStr">
        <is>
          <t>Two conditions at exactly equal probability</t>
        </is>
      </c>
      <c r="F11" s="2" t="inlineStr">
        <is>
          <t>Selection of top 5 must be stable and reproducible across re-runs; no dict-order dependence</t>
        </is>
      </c>
      <c r="G11" s="2" t="inlineStr">
        <is>
          <t>Consistent clarification screens regardless of run order</t>
        </is>
      </c>
      <c r="H11" s="6" t="inlineStr">
        <is>
          <t>Moderate</t>
        </is>
      </c>
      <c r="I11" s="2" t="inlineStr">
        <is>
          <t>Unit</t>
        </is>
      </c>
      <c r="J11" s="2" t="inlineStr">
        <is>
          <t>Not started</t>
        </is>
      </c>
      <c r="K11" s="2" t="inlineStr">
        <is>
          <t>Currently no secondary sort key in handle_questions</t>
        </is>
      </c>
    </row>
    <row r="12" ht="60" customHeight="1">
      <c r="A12" s="2" t="inlineStr">
        <is>
          <t>EC-11</t>
        </is>
      </c>
      <c r="B12" s="2" t="inlineStr">
        <is>
          <t>Bayesian logic</t>
        </is>
      </c>
      <c r="C12" s="2" t="inlineStr">
        <is>
          <t>All models score high — system must not create "everything is wrong" result page</t>
        </is>
      </c>
      <c r="D12" s="2" t="inlineStr">
        <is>
          <t>Broad false-positive profile designed to make all 11 scores high</t>
        </is>
      </c>
      <c r="E12" s="2" t="inlineStr">
        <is>
          <t>All 11 scores above FILTER_CRITERIA</t>
        </is>
      </c>
      <c r="F12" s="2" t="inlineStr">
        <is>
          <t>Only top 5 by probability used for clarification; confounder may reduce some</t>
        </is>
      </c>
      <c r="G12" s="2" t="inlineStr">
        <is>
          <t>Result page groups/caps conditions; wording proportional to confidence; not alarming</t>
        </is>
      </c>
      <c r="H12" s="6" t="inlineStr">
        <is>
          <t>Moderate</t>
        </is>
      </c>
      <c r="I12" s="2" t="inlineStr">
        <is>
          <t>E2E</t>
        </is>
      </c>
      <c r="J12" s="2" t="inlineStr">
        <is>
          <t>Not started</t>
        </is>
      </c>
      <c r="K12" s="2" t="inlineStr"/>
    </row>
    <row r="13" ht="60" customHeight="1">
      <c r="A13" s="2" t="inlineStr">
        <is>
          <t>EC-12</t>
        </is>
      </c>
      <c r="B13" s="2" t="inlineStr">
        <is>
          <t>Bayesian logic</t>
        </is>
      </c>
      <c r="C13" s="2" t="inlineStr">
        <is>
          <t>Extreme priors near 0 or 1 — posterior math must stay numerically stable</t>
        </is>
      </c>
      <c r="D13" s="2" t="inlineStr">
        <is>
          <t>Profiles with prior=0.01 and prior=0.99 for individual conditions</t>
        </is>
      </c>
      <c r="E13" s="2" t="inlineStr">
        <is>
          <t>Scores at extremes of [0, 1]</t>
        </is>
      </c>
      <c r="F13" s="2" t="inlineStr">
        <is>
          <t>_prob_to_odds uses 1e-9 guard; no NaN or inf in posterior</t>
        </is>
      </c>
      <c r="G13" s="2" t="inlineStr">
        <is>
          <t>Result page displays valid probabilities; no display crash</t>
        </is>
      </c>
      <c r="H13" s="3" t="inlineStr">
        <is>
          <t>Low</t>
        </is>
      </c>
      <c r="I13" s="2" t="inlineStr">
        <is>
          <t>Unit</t>
        </is>
      </c>
      <c r="J13" s="2" t="inlineStr">
        <is>
          <t>Not started</t>
        </is>
      </c>
      <c r="K13" s="2" t="inlineStr"/>
    </row>
    <row r="14" ht="60" customHeight="1">
      <c r="A14" s="2" t="inlineStr">
        <is>
          <t>EC-13</t>
        </is>
      </c>
      <c r="B14" s="2" t="inlineStr">
        <is>
          <t>Bayesian logic</t>
        </is>
      </c>
      <c r="C14" s="2" t="inlineStr">
        <is>
          <t>Bayesian update is bidirectional — answers that exonerate a condition must reduce posterior</t>
        </is>
      </c>
      <c r="D14" s="2" t="inlineStr">
        <is>
          <t>Prior 0.50 on thyroid; user answers low-LR options in clarification</t>
        </is>
      </c>
      <c r="E14" s="2" t="inlineStr">
        <is>
          <t>Score above FILTER_CRITERIA</t>
        </is>
      </c>
      <c r="F14" s="2" t="inlineStr">
        <is>
          <t>Posterior &lt; prior after update; condition may drop below threshold</t>
        </is>
      </c>
      <c r="G14" s="2" t="inlineStr">
        <is>
          <t>Result shows reduced confidence; no stale strong-signal wording persists</t>
        </is>
      </c>
      <c r="H14" s="5" t="inlineStr">
        <is>
          <t>High</t>
        </is>
      </c>
      <c r="I14" s="2" t="inlineStr">
        <is>
          <t>Unit</t>
        </is>
      </c>
      <c r="J14" s="2" t="inlineStr">
        <is>
          <t>Not started</t>
        </is>
      </c>
      <c r="K14" s="2" t="inlineStr"/>
    </row>
    <row r="15" ht="60" customHeight="1">
      <c r="A15" s="2" t="inlineStr">
        <is>
          <t>EC-14</t>
        </is>
      </c>
      <c r="B15" s="2" t="inlineStr">
        <is>
          <t>Bayesian logic</t>
        </is>
      </c>
      <c r="C15" s="2" t="inlineStr">
        <is>
          <t>Quiz-to-Bayesian prefill: nocturia already answered — must not be re-asked</t>
        </is>
      </c>
      <c r="D15" s="2" t="inlineStr">
        <is>
          <t>Profile with kiq480=2 (wakes twice per night) answered in quiz</t>
        </is>
      </c>
      <c r="E15" s="2" t="inlineStr">
        <is>
          <t>—</t>
        </is>
      </c>
      <c r="F15" s="2" t="inlineStr">
        <is>
          <t>kidney_q3 and prediabetes_q3 prefilled=yes via quiz_to_bayesian_map; not shown in clarification</t>
        </is>
      </c>
      <c r="G15" s="2" t="inlineStr">
        <is>
          <t>No nocturia question appears in clarification screens</t>
        </is>
      </c>
      <c r="H15" s="6" t="inlineStr">
        <is>
          <t>Moderate</t>
        </is>
      </c>
      <c r="I15" s="2" t="inlineStr">
        <is>
          <t>Integration</t>
        </is>
      </c>
      <c r="J15" s="2" t="inlineStr">
        <is>
          <t>Not started</t>
        </is>
      </c>
      <c r="K15" s="2" t="inlineStr"/>
    </row>
    <row r="16" ht="60" customHeight="1">
      <c r="A16" s="2" t="inlineStr">
        <is>
          <t>EC-15</t>
        </is>
      </c>
      <c r="B16" s="2" t="inlineStr">
        <is>
          <t>Bayesian logic</t>
        </is>
      </c>
      <c r="C16" s="2" t="inlineStr">
        <is>
          <t>Quiz-to-Bayesian prefill: snoring already answered — must not be re-asked</t>
        </is>
      </c>
      <c r="D16" s="2" t="inlineStr">
        <is>
          <t>Profile with slq030=2 (rarely snores) answered in quiz</t>
        </is>
      </c>
      <c r="E16" s="2" t="inlineStr">
        <is>
          <t>—</t>
        </is>
      </c>
      <c r="F16" s="2" t="inlineStr">
        <is>
          <t>sleep_q2 prefilled=yes; not shown in clarification</t>
        </is>
      </c>
      <c r="G16" s="2" t="inlineStr">
        <is>
          <t>No snoring question appears in sleep clarification screen</t>
        </is>
      </c>
      <c r="H16" s="6" t="inlineStr">
        <is>
          <t>Moderate</t>
        </is>
      </c>
      <c r="I16" s="2" t="inlineStr">
        <is>
          <t>Integration</t>
        </is>
      </c>
      <c r="J16" s="2" t="inlineStr">
        <is>
          <t>Not started</t>
        </is>
      </c>
      <c r="K16" s="2" t="inlineStr"/>
    </row>
    <row r="17" ht="60" customHeight="1">
      <c r="A17" s="2" t="inlineStr">
        <is>
          <t>EC-16</t>
        </is>
      </c>
      <c r="B17" s="2" t="inlineStr">
        <is>
          <t>Bayesian logic</t>
        </is>
      </c>
      <c r="C17" s="2" t="inlineStr">
        <is>
          <t>slq050 semantic mismatch — historical doctor diagnosis ≠ current symptom frequency</t>
        </is>
      </c>
      <c r="D17" s="2" t="inlineStr">
        <is>
          <t>Profile with slq050=1 (told by doctor historically) but no current sleep difficulty symptoms</t>
        </is>
      </c>
      <c r="E17" s="2" t="inlineStr">
        <is>
          <t>—</t>
        </is>
      </c>
      <c r="F17" s="2" t="inlineStr">
        <is>
          <t>sleep_q5 prefilled=yes via mapping; may overstate current symptom presence</t>
        </is>
      </c>
      <c r="G17" s="2" t="inlineStr">
        <is>
          <t>Sleep disorder posterior may be falsely inflated; review mapping accuracy</t>
        </is>
      </c>
      <c r="H17" s="5" t="inlineStr">
        <is>
          <t>High</t>
        </is>
      </c>
      <c r="I17" s="2" t="inlineStr">
        <is>
          <t>Manual</t>
        </is>
      </c>
      <c r="J17" s="2" t="inlineStr">
        <is>
          <t>Not started</t>
        </is>
      </c>
      <c r="K17" s="2" t="inlineStr">
        <is>
          <t>Mapping in quiz_to_bayesian_map.py:83–87 uses past diagnosis as proxy for current symptom</t>
        </is>
      </c>
    </row>
    <row r="18" ht="60" customHeight="1">
      <c r="A18" s="2" t="inlineStr">
        <is>
          <t>EC-17</t>
        </is>
      </c>
      <c r="B18" s="2" t="inlineStr">
        <is>
          <t>Bayesian logic</t>
        </is>
      </c>
      <c r="C18" s="2" t="inlineStr">
        <is>
          <t>DISABLED_QUESTION_IDS not validated against lr_tables.json at startup</t>
        </is>
      </c>
      <c r="D18" s="2" t="inlineStr">
        <is>
          <t>Start server and inspect that all 8 disabled IDs exist in lr_tables.json</t>
        </is>
      </c>
      <c r="E18" s="2" t="inlineStr">
        <is>
          <t>—</t>
        </is>
      </c>
      <c r="F18" s="2" t="inlineStr">
        <is>
          <t>Startup check should warn or fail if any disabled ID is missing from lr_tables</t>
        </is>
      </c>
      <c r="G18" s="2" t="inlineStr">
        <is>
          <t>No silent dead-letter disable rules in production</t>
        </is>
      </c>
      <c r="H18" s="6" t="inlineStr">
        <is>
          <t>Moderate</t>
        </is>
      </c>
      <c r="I18" s="2" t="inlineStr">
        <is>
          <t>Unit</t>
        </is>
      </c>
      <c r="J18" s="2" t="inlineStr">
        <is>
          <t>Not started</t>
        </is>
      </c>
      <c r="K18" s="2" t="inlineStr">
        <is>
          <t>Risk: typo in disabled ID silently enables a disabled question</t>
        </is>
      </c>
    </row>
    <row r="19" ht="60" customHeight="1">
      <c r="A19" s="2" t="inlineStr">
        <is>
          <t>EC-18</t>
        </is>
      </c>
      <c r="B19" s="2" t="inlineStr">
        <is>
          <t>Bayesian logic</t>
        </is>
      </c>
      <c r="C19" s="2" t="inlineStr">
        <is>
          <t>BUG: Alcohol prefill conflict — alq111 and alq130 both map to liver_q1</t>
        </is>
      </c>
      <c r="D19" s="2" t="inlineStr">
        <is>
          <t>Quiz sends both alq111=2 (never drank) and alq130=0</t>
        </is>
      </c>
      <c r="E19" s="2" t="inlineStr">
        <is>
          <t>—</t>
        </is>
      </c>
      <c r="F19" s="2" t="inlineStr">
        <is>
          <t>liver_q1 should be "none"; alq130 must not overwrite alq111 result when user confirmed non-drinker</t>
        </is>
      </c>
      <c r="G19" s="2" t="inlineStr">
        <is>
          <t>Alcohol-related posteriors not incorrectly inflated</t>
        </is>
      </c>
      <c r="H19" s="5" t="inlineStr">
        <is>
          <t>High</t>
        </is>
      </c>
      <c r="I19" s="2" t="inlineStr">
        <is>
          <t>Unit</t>
        </is>
      </c>
      <c r="J19" s="2" t="inlineStr">
        <is>
          <t>Not started</t>
        </is>
      </c>
      <c r="K19" s="2" t="inlineStr">
        <is>
          <t>Both fields map to same Bayesian ID in QUIZ_TO_BAYESIAN; last-write wins</t>
        </is>
      </c>
    </row>
    <row r="20" ht="60" customHeight="1">
      <c r="A20" s="2" t="inlineStr">
        <is>
          <t>EC-19</t>
        </is>
      </c>
      <c r="B20" s="2" t="inlineStr">
        <is>
          <t>Bayesian logic</t>
        </is>
      </c>
      <c r="C20" s="2" t="inlineStr">
        <is>
          <t>User abandons clarification midway — Bayesian selectedAnswers live in React component state only (not localStorage). Navigating away loses all partial answers. Flow cannot be resumed</t>
        </is>
      </c>
      <c r="D20" s="2" t="inlineStr">
        <is>
          <t>User completes 2 of 5 condition screens, closes browser, reopens app</t>
        </is>
      </c>
      <c r="E20" s="2" t="inlineStr">
        <is>
          <t>—</t>
        </is>
      </c>
      <c r="F20" s="2" t="inlineStr">
        <is>
          <t>Partial answers stored in localStorage; flow resumes from last position</t>
        </is>
      </c>
      <c r="G20" s="2" t="inlineStr">
        <is>
          <t>No corrupt or duplicated state; browser back works without re-submitting</t>
        </is>
      </c>
      <c r="H20" s="6" t="inlineStr">
        <is>
          <t>Moderate</t>
        </is>
      </c>
      <c r="I20" s="2" t="inlineStr">
        <is>
          <t>E2E</t>
        </is>
      </c>
      <c r="J20" s="2" t="inlineStr">
        <is>
          <t>Not started</t>
        </is>
      </c>
      <c r="K20" s="2" t="inlineStr">
        <is>
          <t>Confirmed gap: clarify/page.tsx uses useState for selectedAnswers with no localStorage persistence. Refreshing or back-navigating during clarification loses all answers. ML scores ARE stored in sessionStorage (storeMLScores) but Bayesian answers are not</t>
        </is>
      </c>
    </row>
    <row r="21" ht="60" customHeight="1">
      <c r="A21" s="2" t="inlineStr">
        <is>
          <t>EC-20</t>
        </is>
      </c>
      <c r="B21" s="2" t="inlineStr">
        <is>
          <t>Data / Input</t>
        </is>
      </c>
      <c r="C21" s="2" t="inlineStr">
        <is>
          <t>Missing required demographics: age absent</t>
        </is>
      </c>
      <c r="D21" s="2" t="inlineStr">
        <is>
          <t>Submit quiz payload with no age_years field</t>
        </is>
      </c>
      <c r="E21" s="2" t="inlineStr">
        <is>
          <t>perimenopause gate: no age → ineligible → 0.0; other models receive NaN for age-dependent features; imputers fill</t>
        </is>
      </c>
      <c r="F21" s="2" t="inlineStr">
        <is>
          <t>No perimenopause questions; other conditions scored normally</t>
        </is>
      </c>
      <c r="G21" s="2" t="inlineStr">
        <is>
          <t>Result page does not crash; handles missing age gracefully</t>
        </is>
      </c>
      <c r="H21" s="5" t="inlineStr">
        <is>
          <t>High</t>
        </is>
      </c>
      <c r="I21" s="2" t="inlineStr">
        <is>
          <t>Integration</t>
        </is>
      </c>
      <c r="J21" s="2" t="inlineStr">
        <is>
          <t>Not started</t>
        </is>
      </c>
      <c r="K21" s="2" t="inlineStr"/>
    </row>
    <row r="22" ht="60" customHeight="1">
      <c r="A22" s="2" t="inlineStr">
        <is>
          <t>EC-21</t>
        </is>
      </c>
      <c r="B22" s="2" t="inlineStr">
        <is>
          <t>Data / Input</t>
        </is>
      </c>
      <c r="C22" s="2" t="inlineStr">
        <is>
          <t>Missing required demographics: gender absent</t>
        </is>
      </c>
      <c r="D22" s="2" t="inlineStr">
        <is>
          <t>Submit quiz payload with no gender field</t>
        </is>
      </c>
      <c r="E22" s="2" t="inlineStr">
        <is>
          <t>gender_female = NaN; perimenopause = 0.0; gender-filtered questions not shown</t>
        </is>
      </c>
      <c r="F22" s="2" t="inlineStr">
        <is>
          <t>No gender-filtered Bayesian questions served</t>
        </is>
      </c>
      <c r="G22" s="2" t="inlineStr">
        <is>
          <t>Result page does not crash; handles missing gender gracefully</t>
        </is>
      </c>
      <c r="H22" s="5" t="inlineStr">
        <is>
          <t>High</t>
        </is>
      </c>
      <c r="I22" s="2" t="inlineStr">
        <is>
          <t>Integration</t>
        </is>
      </c>
      <c r="J22" s="2" t="inlineStr">
        <is>
          <t>Not started</t>
        </is>
      </c>
      <c r="K22" s="2" t="inlineStr"/>
    </row>
    <row r="23" ht="60" customHeight="1">
      <c r="A23" s="2" t="inlineStr">
        <is>
          <t>EC-22</t>
        </is>
      </c>
      <c r="B23" s="2" t="inlineStr">
        <is>
          <t>Data / Input</t>
        </is>
      </c>
      <c r="C23" s="2" t="inlineStr">
        <is>
          <t>Out-of-range lab values accepted silently — BUG</t>
        </is>
      </c>
      <c r="D23" s="2" t="inlineStr">
        <is>
          <t>lab_upload with ferritin=-5, TSH=0, hemoglobin=0</t>
        </is>
      </c>
      <c r="E23" s="2" t="inlineStr">
        <is>
          <t>Values currently flow into normalizer unchecked; should be rejected or replaced with NaN</t>
        </is>
      </c>
      <c r="F23" s="2" t="inlineStr">
        <is>
          <t>No LR applied based on impossible lab value</t>
        </is>
      </c>
      <c r="G23" s="2" t="inlineStr">
        <is>
          <t>Result page does not surface clinically impossible signals</t>
        </is>
      </c>
      <c r="H23" s="5" t="inlineStr">
        <is>
          <t>High</t>
        </is>
      </c>
      <c r="I23" s="2" t="inlineStr">
        <is>
          <t>Unit</t>
        </is>
      </c>
      <c r="J23" s="2" t="inlineStr">
        <is>
          <t>Not started</t>
        </is>
      </c>
      <c r="K23" s="2" t="inlineStr">
        <is>
          <t>score_answers.py:154–158 uses float(field_val) with no range check</t>
        </is>
      </c>
    </row>
    <row r="24" ht="60" customHeight="1">
      <c r="A24" s="2" t="inlineStr">
        <is>
          <t>EC-23</t>
        </is>
      </c>
      <c r="B24" s="2" t="inlineStr">
        <is>
          <t>Data / Input</t>
        </is>
      </c>
      <c r="C24" s="2" t="inlineStr">
        <is>
          <t>Impossible contradictory answers — male user with heavy periods</t>
        </is>
      </c>
      <c r="D24" s="2" t="inlineStr">
        <is>
          <t>Male user answers heavy_periods=yes in anemia clarification</t>
        </is>
      </c>
      <c r="E24" s="2" t="inlineStr">
        <is>
          <t>Models receive contradictory input; perimenopause already gated to 0.0</t>
        </is>
      </c>
      <c r="F24" s="2" t="inlineStr">
        <is>
          <t>heavy_periods answer must not propagate to perimenopause for male user; _apply_shared_answers ignores gender</t>
        </is>
      </c>
      <c r="G24" s="2" t="inlineStr">
        <is>
          <t>No perimenopause signal from male heavy-periods answer</t>
        </is>
      </c>
      <c r="H24" s="6" t="inlineStr">
        <is>
          <t>Moderate</t>
        </is>
      </c>
      <c r="I24" s="2" t="inlineStr">
        <is>
          <t>Unit</t>
        </is>
      </c>
      <c r="J24" s="2" t="inlineStr">
        <is>
          <t>Not started</t>
        </is>
      </c>
      <c r="K24" s="2" t="inlineStr">
        <is>
          <t>_apply_shared_answers_to_conditions has no gender check</t>
        </is>
      </c>
    </row>
    <row r="25" ht="60" customHeight="1">
      <c r="A25" s="2" t="inlineStr">
        <is>
          <t>EC-24</t>
        </is>
      </c>
      <c r="B25" s="2" t="inlineStr">
        <is>
          <t>Data / Input</t>
        </is>
      </c>
      <c r="C25" s="2" t="inlineStr">
        <is>
          <t>Sparse questionnaire — almost all questions skipped</t>
        </is>
      </c>
      <c r="D25" s="2" t="inlineStr">
        <is>
          <t>Profile with only age + gender answered; all other fields absent</t>
        </is>
      </c>
      <c r="E25" s="2" t="inlineStr">
        <is>
          <t>All other features are NaN; SimpleImputer fills with population means</t>
        </is>
      </c>
      <c r="F25" s="2" t="inlineStr">
        <is>
          <t>All posteriors near population baseline; no condition clears FILTER_CRITERIA threshold</t>
        </is>
      </c>
      <c r="G25" s="2" t="inlineStr">
        <is>
          <t>Sparse-data warning shown; result page does not overstate confidence on near-empty profile</t>
        </is>
      </c>
      <c r="H25" s="6" t="inlineStr">
        <is>
          <t>Moderate</t>
        </is>
      </c>
      <c r="I25" s="2" t="inlineStr">
        <is>
          <t>E2E</t>
        </is>
      </c>
      <c r="J25" s="2" t="inlineStr">
        <is>
          <t>Not started</t>
        </is>
      </c>
      <c r="K25" s="2" t="inlineStr"/>
    </row>
    <row r="26" ht="60" customHeight="1">
      <c r="A26" s="2" t="inlineStr">
        <is>
          <t>EC-25</t>
        </is>
      </c>
      <c r="B26" s="2" t="inlineStr">
        <is>
          <t>Data / Input</t>
        </is>
      </c>
      <c r="C26" s="2" t="inlineStr">
        <is>
          <t>Stale labs — no freshness gate exists</t>
        </is>
      </c>
      <c r="D26" s="2" t="inlineStr">
        <is>
          <t>Profile with lab_upload containing labs dated &gt;12 months ago</t>
        </is>
      </c>
      <c r="E26" s="2" t="inlineStr">
        <is>
          <t>Labs used as-is; no lab_date field or recency check in pipeline</t>
        </is>
      </c>
      <c r="F26" s="2" t="inlineStr">
        <is>
          <t>Lab-dependent LRs applied as if fresh</t>
        </is>
      </c>
      <c r="G26" s="2" t="inlineStr">
        <is>
          <t>Ideally: staleness warning surfaced; at minimum: no crash</t>
        </is>
      </c>
      <c r="H26" s="3" t="inlineStr">
        <is>
          <t>Low</t>
        </is>
      </c>
      <c r="I26" s="2" t="inlineStr">
        <is>
          <t>Manual</t>
        </is>
      </c>
      <c r="J26" s="2" t="inlineStr">
        <is>
          <t>Not started</t>
        </is>
      </c>
      <c r="K26" s="2" t="inlineStr">
        <is>
          <t>No lab_date field in quiz schema; recency gate not implemented</t>
        </is>
      </c>
    </row>
    <row r="27" ht="60" customHeight="1">
      <c r="A27" s="2" t="inlineStr">
        <is>
          <t>EC-26</t>
        </is>
      </c>
      <c r="B27" s="2" t="inlineStr">
        <is>
          <t>Data / Input</t>
        </is>
      </c>
      <c r="C27" s="2" t="inlineStr">
        <is>
          <t>Perimenopause outside eligibility: male aged 45</t>
        </is>
      </c>
      <c r="D27" s="2" t="inlineStr">
        <is>
          <t>Male, age 45 profile submitted</t>
        </is>
      </c>
      <c r="E27" s="2" t="inlineStr">
        <is>
          <t>perimenopause hard gate in _is_perimenopause_eligible → 0.0</t>
        </is>
      </c>
      <c r="F27" s="2" t="inlineStr">
        <is>
          <t>No perimenopause Bayesian questions generated</t>
        </is>
      </c>
      <c r="G27" s="2" t="inlineStr">
        <is>
          <t>Perimenopause not surfaced anywhere in results</t>
        </is>
      </c>
      <c r="H27" s="5" t="inlineStr">
        <is>
          <t>High</t>
        </is>
      </c>
      <c r="I27" s="2" t="inlineStr">
        <is>
          <t>Integration</t>
        </is>
      </c>
      <c r="J27" s="2" t="inlineStr">
        <is>
          <t>Not started</t>
        </is>
      </c>
      <c r="K27" s="2" t="inlineStr"/>
    </row>
    <row r="28" ht="60" customHeight="1">
      <c r="A28" s="2" t="inlineStr">
        <is>
          <t>EC-27</t>
        </is>
      </c>
      <c r="B28" s="2" t="inlineStr">
        <is>
          <t>Data / Input</t>
        </is>
      </c>
      <c r="C28" s="2" t="inlineStr">
        <is>
          <t>Perimenopause outside eligibility: female aged 30</t>
        </is>
      </c>
      <c r="D28" s="2" t="inlineStr">
        <is>
          <t>Female, age 30 profile submitted</t>
        </is>
      </c>
      <c r="E28" s="2" t="inlineStr">
        <is>
          <t>perimenopause hard gate in _is_perimenopause_eligible → 0.0</t>
        </is>
      </c>
      <c r="F28" s="2" t="inlineStr">
        <is>
          <t>No perimenopause Bayesian questions generated</t>
        </is>
      </c>
      <c r="G28" s="2" t="inlineStr">
        <is>
          <t>Perimenopause not surfaced anywhere in results</t>
        </is>
      </c>
      <c r="H28" s="5" t="inlineStr">
        <is>
          <t>High</t>
        </is>
      </c>
      <c r="I28" s="2" t="inlineStr">
        <is>
          <t>Integration</t>
        </is>
      </c>
      <c r="J28" s="2" t="inlineStr">
        <is>
          <t>Not started</t>
        </is>
      </c>
      <c r="K28" s="2" t="inlineStr"/>
    </row>
    <row r="29" ht="60" customHeight="1">
      <c r="A29" s="2" t="inlineStr">
        <is>
          <t>EC-28</t>
        </is>
      </c>
      <c r="B29" s="2" t="inlineStr">
        <is>
          <t>Model / Scoring</t>
        </is>
      </c>
      <c r="C29" s="2" t="inlineStr">
        <is>
          <t>Model inference error: one model raises exception during predict_proba</t>
        </is>
      </c>
      <c r="D29" s="2" t="inlineStr">
        <is>
          <t>Simulate one model raising RuntimeError during inference</t>
        </is>
      </c>
      <c r="E29" s="2" t="inlineStr">
        <is>
          <t>Failing condition omitted from scores dict; other 10 models complete normally; failed_models list updated</t>
        </is>
      </c>
      <c r="F29" s="2" t="inlineStr">
        <is>
          <t>Bayesian runs on remaining conditions only</t>
        </is>
      </c>
      <c r="G29" s="2" t="inlineStr">
        <is>
          <t>No crash; no broken ranking; result page handles missing condition gracefully</t>
        </is>
      </c>
      <c r="H29" s="6" t="inlineStr">
        <is>
          <t>Moderate</t>
        </is>
      </c>
      <c r="I29" s="2" t="inlineStr">
        <is>
          <t>Unit</t>
        </is>
      </c>
      <c r="J29" s="2" t="inlineStr">
        <is>
          <t>Not started</t>
        </is>
      </c>
      <c r="K29" s="2" t="inlineStr"/>
    </row>
    <row r="30" ht="60" customHeight="1">
      <c r="A30" s="2" t="inlineStr">
        <is>
          <t>EC-29</t>
        </is>
      </c>
      <c r="B30" s="2" t="inlineStr">
        <is>
          <t>Model / Scoring</t>
        </is>
      </c>
      <c r="C30" s="2" t="inlineStr">
        <is>
          <t>FILTER_CRITERIA threshold contract — values must match intended operating points</t>
        </is>
      </c>
      <c r="D30" s="2" t="inlineStr">
        <is>
          <t>Contract test: load FILTER_CRITERIA and compare against stored model metadata operating points</t>
        </is>
      </c>
      <c r="E30" s="2" t="inlineStr">
        <is>
          <t>Thresholds match intended values; no silent miscalibration</t>
        </is>
      </c>
      <c r="F30" s="2" t="inlineStr">
        <is>
          <t>Bayesian triggers for exactly the intended conditions</t>
        </is>
      </c>
      <c r="G30" s="2" t="inlineStr">
        <is>
          <t>No conditions silently mis-triggered due to threshold mismatch</t>
        </is>
      </c>
      <c r="H30" s="6" t="inlineStr">
        <is>
          <t>Moderate</t>
        </is>
      </c>
      <c r="I30" s="2" t="inlineStr">
        <is>
          <t>Unit</t>
        </is>
      </c>
      <c r="J30" s="2" t="inlineStr">
        <is>
          <t>Not started</t>
        </is>
      </c>
      <c r="K30" s="2" t="inlineStr"/>
    </row>
    <row r="31" ht="60" customHeight="1">
      <c r="A31" s="2" t="inlineStr">
        <is>
          <t>EC-30</t>
        </is>
      </c>
      <c r="B31" s="2" t="inlineStr">
        <is>
          <t>Model / Scoring</t>
        </is>
      </c>
      <c r="C31" s="2" t="inlineStr">
        <is>
          <t>Proxy model for menopause — perimenopause model reused for menopause case</t>
        </is>
      </c>
      <c r="D31" s="2" t="inlineStr">
        <is>
          <t>Female aged 52 with post-menopausal features submitted</t>
        </is>
      </c>
      <c r="E31" s="2" t="inlineStr">
        <is>
          <t>perimenopause model scores menopause profile; proxy use is implicit</t>
        </is>
      </c>
      <c r="F31" s="2" t="inlineStr">
        <is>
          <t>UI and eval must flag proxy use explicitly</t>
        </is>
      </c>
      <c r="G31" s="2" t="inlineStr">
        <is>
          <t>Result acknowledges proxy; does not present as a dedicated menopause model</t>
        </is>
      </c>
      <c r="H31" s="3" t="inlineStr">
        <is>
          <t>Low</t>
        </is>
      </c>
      <c r="I31" s="2" t="inlineStr">
        <is>
          <t>Manual</t>
        </is>
      </c>
      <c r="J31" s="2" t="inlineStr">
        <is>
          <t>Not started</t>
        </is>
      </c>
      <c r="K31" s="2" t="inlineStr">
        <is>
          <t>Proxy use documented in architecture but not surfaced to user</t>
        </is>
      </c>
    </row>
    <row r="32" ht="60" customHeight="1">
      <c r="A32" s="2" t="inlineStr">
        <is>
          <t>EC-31</t>
        </is>
      </c>
      <c r="B32" s="2" t="inlineStr">
        <is>
          <t>Infrastructure</t>
        </is>
      </c>
      <c r="C32" s="2" t="inlineStr">
        <is>
          <t>Empty confirmed list — no confirmed conditions</t>
        </is>
      </c>
      <c r="D32" s="2" t="inlineStr">
        <is>
          <t>Healthy user with conditions_diagnosed answered as empty list</t>
        </is>
      </c>
      <c r="E32" s="2" t="inlineStr">
        <is>
          <t>All 11 models run normally; confirmed=[] returned</t>
        </is>
      </c>
      <c r="F32" s="2" t="inlineStr">
        <is>
          <t>Full Bayesian pipeline available for all conditions</t>
        </is>
      </c>
      <c r="G32" s="2" t="inlineStr">
        <is>
          <t>No crash or rendering issue from empty confirmed list</t>
        </is>
      </c>
      <c r="H32" s="3" t="inlineStr">
        <is>
          <t>Low</t>
        </is>
      </c>
      <c r="I32" s="2" t="inlineStr">
        <is>
          <t>Integration</t>
        </is>
      </c>
      <c r="J32" s="2" t="inlineStr">
        <is>
          <t>Not started</t>
        </is>
      </c>
      <c r="K32" s="2" t="inlineStr"/>
    </row>
    <row r="33" ht="60" customHeight="1">
      <c r="A33" s="2" t="inlineStr">
        <is>
          <t>EC-33</t>
        </is>
      </c>
      <c r="B33" s="2" t="inlineStr">
        <is>
          <t>Bayesian logic</t>
        </is>
      </c>
      <c r="C33" s="2" t="inlineStr">
        <is>
          <t>Confounder screen (PHQ-2/GAD-2) not wired up in deployed frontend — clarify/page.tsx calls fetchBayesianUpdateWithTimeout with confounderAnswers: {} always. Depression/anxiety adjustment never applied in production</t>
        </is>
      </c>
      <c r="D33" s="2" t="inlineStr">
        <is>
          <t>Any profile where PHQ-2 or GAD-2 would score positive (depression or anxiety present)</t>
        </is>
      </c>
      <c r="E33" s="2" t="inlineStr">
        <is>
          <t>ML scores returned normally</t>
        </is>
      </c>
      <c r="F33" s="2" t="inlineStr">
        <is>
          <t>Confounder multiplier is always 1.0 (no adjustment) — BayesianUpdater.score_confounders receives empty dict</t>
        </is>
      </c>
      <c r="G33" s="2" t="inlineStr">
        <is>
          <t>Physical condition posteriors are not down-weighted when user has depression/anxiety; no confounder questions shown to user</t>
        </is>
      </c>
      <c r="H33" s="21" t="inlineStr">
        <is>
          <t>High</t>
        </is>
      </c>
      <c r="I33" s="2" t="inlineStr">
        <is>
          <t>Integration</t>
        </is>
      </c>
      <c r="J33" s="2" t="inlineStr">
        <is>
          <t>Not started</t>
        </is>
      </c>
      <c r="K33" s="2" t="inlineStr">
        <is>
          <t>clarify/page.tsx line 197: fetchBayesianUpdateWithTimeout called with confounderAnswers: {}. The Bayesian backend supports it (BayesianUpdater.score_confounders is implemented) but the frontend never collects or sends PHQ-2/GAD-2 answers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7" t="inlineStr">
        <is>
          <t>By Severity</t>
        </is>
      </c>
    </row>
    <row r="2">
      <c r="A2" s="8" t="inlineStr">
        <is>
          <t>Severity</t>
        </is>
      </c>
      <c r="B2" s="8" t="inlineStr">
        <is>
          <t>Count</t>
        </is>
      </c>
      <c r="C2" s="8" t="inlineStr">
        <is>
          <t>% of Total</t>
        </is>
      </c>
    </row>
    <row r="3">
      <c r="A3" s="9" t="inlineStr">
        <is>
          <t>Critical</t>
        </is>
      </c>
      <c r="B3" s="9">
        <f>COUNTIF('QA Matrix'!H:H,"Critical")</f>
        <v/>
      </c>
      <c r="C3" s="10">
        <f>B3/B7</f>
        <v/>
      </c>
    </row>
    <row r="4">
      <c r="A4" s="11" t="inlineStr">
        <is>
          <t>High</t>
        </is>
      </c>
      <c r="B4" s="11">
        <f>COUNTIF('QA Matrix'!H:H,"High")</f>
        <v/>
      </c>
      <c r="C4" s="12">
        <f>B4/B7</f>
        <v/>
      </c>
    </row>
    <row r="5">
      <c r="A5" s="13" t="inlineStr">
        <is>
          <t>Moderate</t>
        </is>
      </c>
      <c r="B5" s="13">
        <f>COUNTIF('QA Matrix'!H:H,"Moderate")</f>
        <v/>
      </c>
      <c r="C5" s="14">
        <f>B5/B7</f>
        <v/>
      </c>
    </row>
    <row r="6">
      <c r="A6" s="15" t="inlineStr">
        <is>
          <t>Low</t>
        </is>
      </c>
      <c r="B6" s="15">
        <f>COUNTIF('QA Matrix'!H:H,"Low")</f>
        <v/>
      </c>
      <c r="C6" s="16">
        <f>B6/B7</f>
        <v/>
      </c>
    </row>
    <row r="7">
      <c r="A7" s="17" t="inlineStr">
        <is>
          <t>Total</t>
        </is>
      </c>
      <c r="B7" s="17">
        <f>SUM(B3:B6)</f>
        <v/>
      </c>
      <c r="C7" s="18" t="inlineStr">
        <is>
          <t>100%</t>
        </is>
      </c>
    </row>
    <row r="9">
      <c r="A9" s="7" t="inlineStr">
        <is>
          <t>By Test Type</t>
        </is>
      </c>
    </row>
    <row r="10">
      <c r="A10" s="8" t="inlineStr">
        <is>
          <t>Test Type</t>
        </is>
      </c>
      <c r="B10" s="8" t="inlineStr">
        <is>
          <t>Count</t>
        </is>
      </c>
    </row>
    <row r="11">
      <c r="A11" s="19" t="inlineStr">
        <is>
          <t>Unit</t>
        </is>
      </c>
      <c r="B11" s="20">
        <f>COUNTIF('QA Matrix'!I:I,"Unit")</f>
        <v/>
      </c>
    </row>
    <row r="12">
      <c r="A12" s="19" t="inlineStr">
        <is>
          <t>Integration</t>
        </is>
      </c>
      <c r="B12" s="20">
        <f>COUNTIF('QA Matrix'!I:I,"Integration")</f>
        <v/>
      </c>
    </row>
    <row r="13">
      <c r="A13" s="19" t="inlineStr">
        <is>
          <t>E2E</t>
        </is>
      </c>
      <c r="B13" s="20">
        <f>COUNTIF('QA Matrix'!I:I,"E2E")</f>
        <v/>
      </c>
    </row>
    <row r="14">
      <c r="A14" s="19" t="inlineStr">
        <is>
          <t>Manual</t>
        </is>
      </c>
      <c r="B14" s="20">
        <f>COUNTIF('QA Matrix'!I:I,"Manual")</f>
        <v/>
      </c>
    </row>
    <row r="16">
      <c r="A16" s="7" t="inlineStr">
        <is>
          <t>By Status</t>
        </is>
      </c>
    </row>
    <row r="17">
      <c r="A17" s="8" t="inlineStr">
        <is>
          <t>Status</t>
        </is>
      </c>
      <c r="B17" s="8" t="inlineStr">
        <is>
          <t>Count</t>
        </is>
      </c>
    </row>
    <row r="18">
      <c r="A18" s="19" t="inlineStr">
        <is>
          <t>Not started</t>
        </is>
      </c>
      <c r="B18" s="20">
        <f>COUNTIF('QA Matrix'!J:J,"Not started")</f>
        <v/>
      </c>
    </row>
    <row r="19">
      <c r="A19" s="19" t="inlineStr">
        <is>
          <t>In progress</t>
        </is>
      </c>
      <c r="B19" s="20">
        <f>COUNTIF('QA Matrix'!J:J,"In progress")</f>
        <v/>
      </c>
    </row>
    <row r="20">
      <c r="A20" s="19" t="inlineStr">
        <is>
          <t>Pass</t>
        </is>
      </c>
      <c r="B20" s="20">
        <f>COUNTIF('QA Matrix'!J:J,"Pass")</f>
        <v/>
      </c>
    </row>
    <row r="21">
      <c r="A21" s="19" t="inlineStr">
        <is>
          <t>Fail</t>
        </is>
      </c>
      <c r="B21" s="20">
        <f>COUNTIF('QA Matrix'!J:J,"Fail")</f>
        <v/>
      </c>
    </row>
    <row r="22">
      <c r="A22" s="19" t="inlineStr">
        <is>
          <t>Blocked</t>
        </is>
      </c>
      <c r="B22" s="20">
        <f>COUNTIF('QA Matrix'!J:J,"Blocked")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2026-03-26T07:18:18Z</dcterms:created>
  <dcterms:modified xmlns:dcterms="http://purl.org/dc/terms/" xmlns:xsi="http://www.w3.org/2001/XMLSchema-instance" xsi:type="dcterms:W3CDTF">2026-03-26T07:28:38Z</dcterms:modified>
</cp:coreProperties>
</file>